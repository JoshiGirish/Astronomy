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Optical Calculations" sheetId="1" r:id="rId1"/>
    <sheet name="Worksheet" sheetId="2" r:id="rId2"/>
    <sheet name="Magnification" sheetId="3" r:id="rId3"/>
  </sheets>
  <calcPr calcId="124519"/>
</workbook>
</file>

<file path=xl/calcChain.xml><?xml version="1.0" encoding="utf-8"?>
<calcChain xmlns="http://schemas.openxmlformats.org/spreadsheetml/2006/main">
  <c r="H36" i="1"/>
  <c r="O6" i="3"/>
  <c r="O7"/>
  <c r="O8"/>
  <c r="O10"/>
  <c r="O11"/>
  <c r="O12"/>
  <c r="O14"/>
  <c r="O15"/>
  <c r="O16"/>
  <c r="O18"/>
  <c r="O19"/>
  <c r="O20"/>
  <c r="O22"/>
  <c r="O23"/>
  <c r="O24"/>
  <c r="O26"/>
  <c r="O4"/>
  <c r="K26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O25" s="1"/>
  <c r="E5" i="2"/>
  <c r="K14"/>
  <c r="H39" i="1"/>
  <c r="H16"/>
  <c r="H23"/>
  <c r="H8"/>
  <c r="O21" i="3" l="1"/>
  <c r="O17"/>
  <c r="O13"/>
  <c r="O9"/>
  <c r="O5"/>
</calcChain>
</file>

<file path=xl/sharedStrings.xml><?xml version="1.0" encoding="utf-8"?>
<sst xmlns="http://schemas.openxmlformats.org/spreadsheetml/2006/main" count="100" uniqueCount="42">
  <si>
    <t>feet</t>
  </si>
  <si>
    <t>inches</t>
  </si>
  <si>
    <t>=</t>
  </si>
  <si>
    <t>x</t>
  </si>
  <si>
    <t>Focal Length</t>
  </si>
  <si>
    <t>Focal Length cut by eyepiece</t>
  </si>
  <si>
    <t>inch</t>
  </si>
  <si>
    <t>Aperture</t>
  </si>
  <si>
    <t>f-number</t>
  </si>
  <si>
    <t>/</t>
  </si>
  <si>
    <t>Length of the remaining cone</t>
  </si>
  <si>
    <t>-</t>
  </si>
  <si>
    <t>8 + 3</t>
  </si>
  <si>
    <t>Length of optical tube</t>
  </si>
  <si>
    <t>Inch</t>
  </si>
  <si>
    <t>mm</t>
  </si>
  <si>
    <t>length to eyepiece + 4 inch (for spider mount)</t>
  </si>
  <si>
    <t>Magnification</t>
  </si>
  <si>
    <t>Telescope Focal Length</t>
  </si>
  <si>
    <t>Eyepiece Focal Length</t>
  </si>
  <si>
    <t>Telescope Aperture (mm)</t>
  </si>
  <si>
    <t>Exit Pupil (mm)</t>
  </si>
  <si>
    <t>Exit Pupil</t>
  </si>
  <si>
    <t>Telescope f-ratio</t>
  </si>
  <si>
    <t>Telescope Aperture</t>
  </si>
  <si>
    <t>Lowest Useful Magnification (LUM)</t>
  </si>
  <si>
    <t>Fully Dialeted Eye (mm)</t>
  </si>
  <si>
    <t>Eyepiece Focal Length for LUM</t>
  </si>
  <si>
    <t>LUM</t>
  </si>
  <si>
    <t>Highest Useful Magnification (HUM)</t>
  </si>
  <si>
    <t>Telescope Aperture (in)</t>
  </si>
  <si>
    <t>Eyepiece Focal Length for HUM</t>
  </si>
  <si>
    <t>HUM</t>
  </si>
  <si>
    <t>Deep-Skpy</t>
  </si>
  <si>
    <t>Lunar</t>
  </si>
  <si>
    <t>Planetary</t>
  </si>
  <si>
    <t>View</t>
  </si>
  <si>
    <t>Suitable eyepieces</t>
  </si>
  <si>
    <t>Light cone diameter on Secondary Mirror</t>
  </si>
  <si>
    <t>Width</t>
  </si>
  <si>
    <t>Length</t>
  </si>
  <si>
    <t>2^(1/2)</t>
  </si>
</sst>
</file>

<file path=xl/styles.xml><?xml version="1.0" encoding="utf-8"?>
<styleSheet xmlns="http://schemas.openxmlformats.org/spreadsheetml/2006/main">
  <numFmts count="1">
    <numFmt numFmtId="164" formatCode="0.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6" borderId="2" applyNumberFormat="0" applyFont="0" applyAlignment="0" applyProtection="0"/>
  </cellStyleXfs>
  <cellXfs count="28">
    <xf numFmtId="0" fontId="0" fillId="0" borderId="0" xfId="0"/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/>
    <xf numFmtId="0" fontId="0" fillId="0" borderId="0" xfId="0" quotePrefix="1" applyAlignment="1">
      <alignment horizontal="right"/>
    </xf>
    <xf numFmtId="0" fontId="0" fillId="0" borderId="0" xfId="0" applyAlignment="1">
      <alignment horizontal="left" vertical="center" wrapText="1"/>
    </xf>
    <xf numFmtId="0" fontId="0" fillId="0" borderId="0" xfId="0" quotePrefix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4" fillId="4" borderId="1" xfId="3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2" fillId="2" borderId="1" xfId="1" applyBorder="1" applyAlignment="1">
      <alignment horizontal="center" vertical="center" textRotation="90" wrapText="1"/>
    </xf>
    <xf numFmtId="0" fontId="4" fillId="4" borderId="1" xfId="3" applyBorder="1" applyAlignment="1">
      <alignment horizontal="center" vertical="center" textRotation="90" wrapText="1"/>
    </xf>
    <xf numFmtId="0" fontId="3" fillId="3" borderId="1" xfId="2" applyBorder="1" applyAlignment="1">
      <alignment horizontal="center" vertical="center" textRotation="90" wrapText="1"/>
    </xf>
    <xf numFmtId="0" fontId="1" fillId="5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6" fontId="0" fillId="0" borderId="0" xfId="0" applyNumberFormat="1"/>
    <xf numFmtId="0" fontId="1" fillId="0" borderId="0" xfId="0" applyFont="1" applyAlignment="1">
      <alignment horizontal="right"/>
    </xf>
    <xf numFmtId="0" fontId="0" fillId="0" borderId="0" xfId="0" quotePrefix="1"/>
    <xf numFmtId="0" fontId="0" fillId="6" borderId="2" xfId="4" applyFont="1"/>
    <xf numFmtId="2" fontId="0" fillId="6" borderId="2" xfId="4" applyNumberFormat="1" applyFont="1"/>
  </cellXfs>
  <cellStyles count="5">
    <cellStyle name="Bad" xfId="2" builtinId="27"/>
    <cellStyle name="Good" xfId="1" builtinId="26"/>
    <cellStyle name="Neutral" xfId="3" builtinId="28"/>
    <cellStyle name="Normal" xfId="0" builtinId="0"/>
    <cellStyle name="Note" xfId="4" builtinId="1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447674</xdr:colOff>
      <xdr:row>23</xdr:row>
      <xdr:rowOff>90489</xdr:rowOff>
    </xdr:from>
    <xdr:to>
      <xdr:col>17</xdr:col>
      <xdr:colOff>66673</xdr:colOff>
      <xdr:row>27</xdr:row>
      <xdr:rowOff>123825</xdr:rowOff>
    </xdr:to>
    <xdr:sp macro="" textlink="">
      <xdr:nvSpPr>
        <xdr:cNvPr id="23" name="Flowchart: Extract 22"/>
        <xdr:cNvSpPr/>
      </xdr:nvSpPr>
      <xdr:spPr>
        <a:xfrm rot="10800000">
          <a:off x="11591924" y="4471989"/>
          <a:ext cx="228599" cy="795336"/>
        </a:xfrm>
        <a:prstGeom prst="flowChartExtract">
          <a:avLst/>
        </a:prstGeom>
        <a:solidFill>
          <a:schemeClr val="accent5">
            <a:lumMod val="20000"/>
            <a:lumOff val="8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238124</xdr:colOff>
      <xdr:row>21</xdr:row>
      <xdr:rowOff>28578</xdr:rowOff>
    </xdr:from>
    <xdr:to>
      <xdr:col>16</xdr:col>
      <xdr:colOff>552450</xdr:colOff>
      <xdr:row>25</xdr:row>
      <xdr:rowOff>138114</xdr:rowOff>
    </xdr:to>
    <xdr:sp macro="" textlink="">
      <xdr:nvSpPr>
        <xdr:cNvPr id="21" name="Trapezoid 20"/>
        <xdr:cNvSpPr/>
      </xdr:nvSpPr>
      <xdr:spPr>
        <a:xfrm rot="5400000">
          <a:off x="9274969" y="2478883"/>
          <a:ext cx="871536" cy="3971926"/>
        </a:xfrm>
        <a:prstGeom prst="trapezoid">
          <a:avLst>
            <a:gd name="adj" fmla="val 38115"/>
          </a:avLst>
        </a:prstGeom>
        <a:solidFill>
          <a:schemeClr val="accent5">
            <a:lumMod val="20000"/>
            <a:lumOff val="8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542925</xdr:colOff>
      <xdr:row>0</xdr:row>
      <xdr:rowOff>123825</xdr:rowOff>
    </xdr:from>
    <xdr:to>
      <xdr:col>17</xdr:col>
      <xdr:colOff>590549</xdr:colOff>
      <xdr:row>5</xdr:row>
      <xdr:rowOff>47625</xdr:rowOff>
    </xdr:to>
    <xdr:grpSp>
      <xdr:nvGrpSpPr>
        <xdr:cNvPr id="5" name="Group 4"/>
        <xdr:cNvGrpSpPr/>
      </xdr:nvGrpSpPr>
      <xdr:grpSpPr>
        <a:xfrm>
          <a:off x="7450621" y="123825"/>
          <a:ext cx="4950928" cy="876300"/>
          <a:chOff x="7419975" y="123825"/>
          <a:chExt cx="4924424" cy="876300"/>
        </a:xfrm>
      </xdr:grpSpPr>
      <xdr:sp macro="" textlink="">
        <xdr:nvSpPr>
          <xdr:cNvPr id="4" name="Flowchart: Extract 3"/>
          <xdr:cNvSpPr/>
        </xdr:nvSpPr>
        <xdr:spPr>
          <a:xfrm rot="5400000">
            <a:off x="9534526" y="-1819272"/>
            <a:ext cx="866772" cy="4752974"/>
          </a:xfrm>
          <a:prstGeom prst="flowChartExtract">
            <a:avLst/>
          </a:prstGeom>
          <a:solidFill>
            <a:schemeClr val="accent5">
              <a:lumMod val="20000"/>
              <a:lumOff val="80000"/>
            </a:schemeClr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marL="0" indent="0" algn="ctr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" name="Oval 2"/>
          <xdr:cNvSpPr/>
        </xdr:nvSpPr>
        <xdr:spPr>
          <a:xfrm>
            <a:off x="7419975" y="123825"/>
            <a:ext cx="295275" cy="876300"/>
          </a:xfrm>
          <a:prstGeom prst="ellipse">
            <a:avLst/>
          </a:prstGeom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2" name="Oval 1"/>
          <xdr:cNvSpPr/>
        </xdr:nvSpPr>
        <xdr:spPr>
          <a:xfrm>
            <a:off x="7477125" y="123825"/>
            <a:ext cx="295275" cy="876300"/>
          </a:xfrm>
          <a:prstGeom prst="ellipse">
            <a:avLst/>
          </a:prstGeom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9</xdr:col>
      <xdr:colOff>571500</xdr:colOff>
      <xdr:row>6</xdr:row>
      <xdr:rowOff>180975</xdr:rowOff>
    </xdr:from>
    <xdr:to>
      <xdr:col>18</xdr:col>
      <xdr:colOff>9524</xdr:colOff>
      <xdr:row>11</xdr:row>
      <xdr:rowOff>104775</xdr:rowOff>
    </xdr:to>
    <xdr:grpSp>
      <xdr:nvGrpSpPr>
        <xdr:cNvPr id="6" name="Group 5"/>
        <xdr:cNvGrpSpPr/>
      </xdr:nvGrpSpPr>
      <xdr:grpSpPr>
        <a:xfrm>
          <a:off x="7479196" y="1323975"/>
          <a:ext cx="4954241" cy="876300"/>
          <a:chOff x="7419975" y="123825"/>
          <a:chExt cx="4924424" cy="876300"/>
        </a:xfrm>
      </xdr:grpSpPr>
      <xdr:sp macro="" textlink="">
        <xdr:nvSpPr>
          <xdr:cNvPr id="7" name="Flowchart: Extract 6"/>
          <xdr:cNvSpPr/>
        </xdr:nvSpPr>
        <xdr:spPr>
          <a:xfrm rot="5400000">
            <a:off x="9534526" y="-1819272"/>
            <a:ext cx="866772" cy="4752974"/>
          </a:xfrm>
          <a:prstGeom prst="flowChartExtract">
            <a:avLst/>
          </a:prstGeom>
          <a:solidFill>
            <a:schemeClr val="accent5">
              <a:lumMod val="20000"/>
              <a:lumOff val="80000"/>
            </a:schemeClr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marL="0" indent="0" algn="ctr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8" name="Oval 7"/>
          <xdr:cNvSpPr/>
        </xdr:nvSpPr>
        <xdr:spPr>
          <a:xfrm>
            <a:off x="7419975" y="123825"/>
            <a:ext cx="295275" cy="876300"/>
          </a:xfrm>
          <a:prstGeom prst="ellipse">
            <a:avLst/>
          </a:prstGeom>
          <a:solidFill>
            <a:schemeClr val="tx2">
              <a:lumMod val="20000"/>
              <a:lumOff val="80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9" name="Oval 8"/>
          <xdr:cNvSpPr/>
        </xdr:nvSpPr>
        <xdr:spPr>
          <a:xfrm>
            <a:off x="7477125" y="123825"/>
            <a:ext cx="295275" cy="876300"/>
          </a:xfrm>
          <a:prstGeom prst="ellipse">
            <a:avLst/>
          </a:prstGeom>
          <a:solidFill>
            <a:schemeClr val="tx2">
              <a:lumMod val="20000"/>
              <a:lumOff val="80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10</xdr:col>
      <xdr:colOff>180975</xdr:colOff>
      <xdr:row>9</xdr:row>
      <xdr:rowOff>38100</xdr:rowOff>
    </xdr:from>
    <xdr:to>
      <xdr:col>18</xdr:col>
      <xdr:colOff>9524</xdr:colOff>
      <xdr:row>9</xdr:row>
      <xdr:rowOff>42865</xdr:rowOff>
    </xdr:to>
    <xdr:cxnSp macro="">
      <xdr:nvCxnSpPr>
        <xdr:cNvPr id="11" name="Straight Connector 10"/>
        <xdr:cNvCxnSpPr>
          <a:endCxn id="7" idx="0"/>
        </xdr:cNvCxnSpPr>
      </xdr:nvCxnSpPr>
      <xdr:spPr>
        <a:xfrm>
          <a:off x="7667625" y="1752600"/>
          <a:ext cx="4705349" cy="4765"/>
        </a:xfrm>
        <a:prstGeom prst="line">
          <a:avLst/>
        </a:prstGeom>
        <a:ln w="190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142875</xdr:colOff>
      <xdr:row>17</xdr:row>
      <xdr:rowOff>0</xdr:rowOff>
    </xdr:from>
    <xdr:to>
      <xdr:col>17</xdr:col>
      <xdr:colOff>581024</xdr:colOff>
      <xdr:row>17</xdr:row>
      <xdr:rowOff>4765</xdr:rowOff>
    </xdr:to>
    <xdr:cxnSp macro="">
      <xdr:nvCxnSpPr>
        <xdr:cNvPr id="13" name="Straight Connector 12"/>
        <xdr:cNvCxnSpPr/>
      </xdr:nvCxnSpPr>
      <xdr:spPr>
        <a:xfrm>
          <a:off x="7629525" y="3238500"/>
          <a:ext cx="4705349" cy="4765"/>
        </a:xfrm>
        <a:prstGeom prst="line">
          <a:avLst/>
        </a:prstGeom>
        <a:ln w="190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152403</xdr:colOff>
      <xdr:row>14</xdr:row>
      <xdr:rowOff>114300</xdr:rowOff>
    </xdr:from>
    <xdr:to>
      <xdr:col>10</xdr:col>
      <xdr:colOff>161927</xdr:colOff>
      <xdr:row>19</xdr:row>
      <xdr:rowOff>47628</xdr:rowOff>
    </xdr:to>
    <xdr:cxnSp macro="">
      <xdr:nvCxnSpPr>
        <xdr:cNvPr id="14" name="Straight Connector 13"/>
        <xdr:cNvCxnSpPr/>
      </xdr:nvCxnSpPr>
      <xdr:spPr>
        <a:xfrm rot="5400000">
          <a:off x="7200901" y="3219452"/>
          <a:ext cx="885828" cy="9524"/>
        </a:xfrm>
        <a:prstGeom prst="line">
          <a:avLst/>
        </a:prstGeom>
        <a:ln w="190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28575</xdr:colOff>
      <xdr:row>21</xdr:row>
      <xdr:rowOff>19050</xdr:rowOff>
    </xdr:from>
    <xdr:to>
      <xdr:col>10</xdr:col>
      <xdr:colOff>381000</xdr:colOff>
      <xdr:row>25</xdr:row>
      <xdr:rowOff>133350</xdr:rowOff>
    </xdr:to>
    <xdr:grpSp>
      <xdr:nvGrpSpPr>
        <xdr:cNvPr id="17" name="Group 16"/>
        <xdr:cNvGrpSpPr/>
      </xdr:nvGrpSpPr>
      <xdr:grpSpPr>
        <a:xfrm>
          <a:off x="7549184" y="4019550"/>
          <a:ext cx="352425" cy="876300"/>
          <a:chOff x="7419975" y="123825"/>
          <a:chExt cx="352425" cy="876300"/>
        </a:xfrm>
      </xdr:grpSpPr>
      <xdr:sp macro="" textlink="">
        <xdr:nvSpPr>
          <xdr:cNvPr id="19" name="Oval 18"/>
          <xdr:cNvSpPr/>
        </xdr:nvSpPr>
        <xdr:spPr>
          <a:xfrm>
            <a:off x="7419975" y="123825"/>
            <a:ext cx="295275" cy="876300"/>
          </a:xfrm>
          <a:prstGeom prst="ellipse">
            <a:avLst/>
          </a:prstGeom>
          <a:solidFill>
            <a:schemeClr val="tx2">
              <a:lumMod val="20000"/>
              <a:lumOff val="80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20" name="Oval 19"/>
          <xdr:cNvSpPr/>
        </xdr:nvSpPr>
        <xdr:spPr>
          <a:xfrm>
            <a:off x="7477125" y="123825"/>
            <a:ext cx="295275" cy="876300"/>
          </a:xfrm>
          <a:prstGeom prst="ellipse">
            <a:avLst/>
          </a:prstGeom>
          <a:solidFill>
            <a:schemeClr val="tx2">
              <a:lumMod val="20000"/>
              <a:lumOff val="80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16</xdr:col>
      <xdr:colOff>394611</xdr:colOff>
      <xdr:row>22</xdr:row>
      <xdr:rowOff>163315</xdr:rowOff>
    </xdr:from>
    <xdr:to>
      <xdr:col>17</xdr:col>
      <xdr:colOff>182805</xdr:colOff>
      <xdr:row>24</xdr:row>
      <xdr:rowOff>17118</xdr:rowOff>
    </xdr:to>
    <xdr:sp macro="" textlink="">
      <xdr:nvSpPr>
        <xdr:cNvPr id="22" name="Oval 21"/>
        <xdr:cNvSpPr/>
      </xdr:nvSpPr>
      <xdr:spPr>
        <a:xfrm rot="18788494">
          <a:off x="11675850" y="4271163"/>
          <a:ext cx="234803" cy="401107"/>
        </a:xfrm>
        <a:prstGeom prst="ellipse">
          <a:avLst/>
        </a:prstGeom>
        <a:solidFill>
          <a:schemeClr val="tx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495300</xdr:colOff>
      <xdr:row>0</xdr:row>
      <xdr:rowOff>85725</xdr:rowOff>
    </xdr:from>
    <xdr:to>
      <xdr:col>18</xdr:col>
      <xdr:colOff>19050</xdr:colOff>
      <xdr:row>5</xdr:row>
      <xdr:rowOff>85725</xdr:rowOff>
    </xdr:to>
    <xdr:sp macro="" textlink="">
      <xdr:nvSpPr>
        <xdr:cNvPr id="24" name="Rectangle 23"/>
        <xdr:cNvSpPr/>
      </xdr:nvSpPr>
      <xdr:spPr>
        <a:xfrm>
          <a:off x="7372350" y="85725"/>
          <a:ext cx="5010150" cy="952500"/>
        </a:xfrm>
        <a:prstGeom prst="rect">
          <a:avLst/>
        </a:prstGeom>
        <a:noFill/>
        <a:ln w="19050"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485775</xdr:colOff>
      <xdr:row>6</xdr:row>
      <xdr:rowOff>133350</xdr:rowOff>
    </xdr:from>
    <xdr:to>
      <xdr:col>18</xdr:col>
      <xdr:colOff>9525</xdr:colOff>
      <xdr:row>11</xdr:row>
      <xdr:rowOff>133350</xdr:rowOff>
    </xdr:to>
    <xdr:sp macro="" textlink="">
      <xdr:nvSpPr>
        <xdr:cNvPr id="25" name="Rectangle 24"/>
        <xdr:cNvSpPr/>
      </xdr:nvSpPr>
      <xdr:spPr>
        <a:xfrm>
          <a:off x="7362825" y="1276350"/>
          <a:ext cx="5010150" cy="952500"/>
        </a:xfrm>
        <a:prstGeom prst="rect">
          <a:avLst/>
        </a:prstGeom>
        <a:noFill/>
        <a:ln w="19050"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466725</xdr:colOff>
      <xdr:row>14</xdr:row>
      <xdr:rowOff>76200</xdr:rowOff>
    </xdr:from>
    <xdr:to>
      <xdr:col>17</xdr:col>
      <xdr:colOff>600075</xdr:colOff>
      <xdr:row>19</xdr:row>
      <xdr:rowOff>76200</xdr:rowOff>
    </xdr:to>
    <xdr:sp macro="" textlink="">
      <xdr:nvSpPr>
        <xdr:cNvPr id="26" name="Rectangle 25"/>
        <xdr:cNvSpPr/>
      </xdr:nvSpPr>
      <xdr:spPr>
        <a:xfrm>
          <a:off x="7343775" y="2743200"/>
          <a:ext cx="5010150" cy="952500"/>
        </a:xfrm>
        <a:prstGeom prst="rect">
          <a:avLst/>
        </a:prstGeom>
        <a:noFill/>
        <a:ln w="19050"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466725</xdr:colOff>
      <xdr:row>20</xdr:row>
      <xdr:rowOff>171450</xdr:rowOff>
    </xdr:from>
    <xdr:to>
      <xdr:col>17</xdr:col>
      <xdr:colOff>600075</xdr:colOff>
      <xdr:row>25</xdr:row>
      <xdr:rowOff>171450</xdr:rowOff>
    </xdr:to>
    <xdr:sp macro="" textlink="">
      <xdr:nvSpPr>
        <xdr:cNvPr id="30" name="Rectangle 29"/>
        <xdr:cNvSpPr/>
      </xdr:nvSpPr>
      <xdr:spPr>
        <a:xfrm>
          <a:off x="7343775" y="3981450"/>
          <a:ext cx="5010150" cy="952500"/>
        </a:xfrm>
        <a:prstGeom prst="rect">
          <a:avLst/>
        </a:prstGeom>
        <a:noFill/>
        <a:ln w="19050"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497497</xdr:colOff>
      <xdr:row>25</xdr:row>
      <xdr:rowOff>176590</xdr:rowOff>
    </xdr:from>
    <xdr:to>
      <xdr:col>17</xdr:col>
      <xdr:colOff>11723</xdr:colOff>
      <xdr:row>28</xdr:row>
      <xdr:rowOff>35902</xdr:rowOff>
    </xdr:to>
    <xdr:sp macro="" textlink="">
      <xdr:nvSpPr>
        <xdr:cNvPr id="31" name="Flowchart: Extract 30"/>
        <xdr:cNvSpPr/>
      </xdr:nvSpPr>
      <xdr:spPr>
        <a:xfrm rot="10800000">
          <a:off x="11619766" y="4939090"/>
          <a:ext cx="122361" cy="430812"/>
        </a:xfrm>
        <a:prstGeom prst="flowChartExtra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466724</xdr:colOff>
      <xdr:row>39</xdr:row>
      <xdr:rowOff>109539</xdr:rowOff>
    </xdr:from>
    <xdr:to>
      <xdr:col>17</xdr:col>
      <xdr:colOff>85723</xdr:colOff>
      <xdr:row>43</xdr:row>
      <xdr:rowOff>142875</xdr:rowOff>
    </xdr:to>
    <xdr:sp macro="" textlink="">
      <xdr:nvSpPr>
        <xdr:cNvPr id="32" name="Flowchart: Extract 31"/>
        <xdr:cNvSpPr/>
      </xdr:nvSpPr>
      <xdr:spPr>
        <a:xfrm rot="10800000">
          <a:off x="11610974" y="6015039"/>
          <a:ext cx="228599" cy="795336"/>
        </a:xfrm>
        <a:prstGeom prst="flowChartExtract">
          <a:avLst/>
        </a:prstGeom>
        <a:solidFill>
          <a:schemeClr val="accent5">
            <a:lumMod val="20000"/>
            <a:lumOff val="8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257174</xdr:colOff>
      <xdr:row>37</xdr:row>
      <xdr:rowOff>47628</xdr:rowOff>
    </xdr:from>
    <xdr:to>
      <xdr:col>16</xdr:col>
      <xdr:colOff>571500</xdr:colOff>
      <xdr:row>41</xdr:row>
      <xdr:rowOff>157164</xdr:rowOff>
    </xdr:to>
    <xdr:sp macro="" textlink="">
      <xdr:nvSpPr>
        <xdr:cNvPr id="33" name="Trapezoid 32"/>
        <xdr:cNvSpPr/>
      </xdr:nvSpPr>
      <xdr:spPr>
        <a:xfrm rot="5400000">
          <a:off x="9294019" y="4021933"/>
          <a:ext cx="871536" cy="3971926"/>
        </a:xfrm>
        <a:prstGeom prst="trapezoid">
          <a:avLst>
            <a:gd name="adj" fmla="val 38115"/>
          </a:avLst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47625</xdr:colOff>
      <xdr:row>37</xdr:row>
      <xdr:rowOff>38100</xdr:rowOff>
    </xdr:from>
    <xdr:to>
      <xdr:col>10</xdr:col>
      <xdr:colOff>400050</xdr:colOff>
      <xdr:row>41</xdr:row>
      <xdr:rowOff>152400</xdr:rowOff>
    </xdr:to>
    <xdr:grpSp>
      <xdr:nvGrpSpPr>
        <xdr:cNvPr id="34" name="Group 33"/>
        <xdr:cNvGrpSpPr/>
      </xdr:nvGrpSpPr>
      <xdr:grpSpPr>
        <a:xfrm>
          <a:off x="7568234" y="7086600"/>
          <a:ext cx="352425" cy="876300"/>
          <a:chOff x="7419975" y="123825"/>
          <a:chExt cx="352425" cy="876300"/>
        </a:xfrm>
      </xdr:grpSpPr>
      <xdr:sp macro="" textlink="">
        <xdr:nvSpPr>
          <xdr:cNvPr id="35" name="Oval 34"/>
          <xdr:cNvSpPr/>
        </xdr:nvSpPr>
        <xdr:spPr>
          <a:xfrm>
            <a:off x="7419975" y="123825"/>
            <a:ext cx="295275" cy="876300"/>
          </a:xfrm>
          <a:prstGeom prst="ellipse">
            <a:avLst/>
          </a:prstGeom>
          <a:solidFill>
            <a:schemeClr val="tx2">
              <a:lumMod val="20000"/>
              <a:lumOff val="80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36" name="Oval 35"/>
          <xdr:cNvSpPr/>
        </xdr:nvSpPr>
        <xdr:spPr>
          <a:xfrm>
            <a:off x="7477125" y="123825"/>
            <a:ext cx="295275" cy="876300"/>
          </a:xfrm>
          <a:prstGeom prst="ellipse">
            <a:avLst/>
          </a:prstGeom>
          <a:solidFill>
            <a:schemeClr val="tx2">
              <a:lumMod val="20000"/>
              <a:lumOff val="80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16</xdr:col>
      <xdr:colOff>421944</xdr:colOff>
      <xdr:row>38</xdr:row>
      <xdr:rowOff>181123</xdr:rowOff>
    </xdr:from>
    <xdr:to>
      <xdr:col>17</xdr:col>
      <xdr:colOff>210138</xdr:colOff>
      <xdr:row>40</xdr:row>
      <xdr:rowOff>34926</xdr:rowOff>
    </xdr:to>
    <xdr:sp macro="" textlink="">
      <xdr:nvSpPr>
        <xdr:cNvPr id="37" name="Oval 36"/>
        <xdr:cNvSpPr/>
      </xdr:nvSpPr>
      <xdr:spPr>
        <a:xfrm rot="18788494">
          <a:off x="11703183" y="5812971"/>
          <a:ext cx="234803" cy="401107"/>
        </a:xfrm>
        <a:prstGeom prst="ellipse">
          <a:avLst/>
        </a:prstGeom>
        <a:solidFill>
          <a:schemeClr val="tx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485775</xdr:colOff>
      <xdr:row>37</xdr:row>
      <xdr:rowOff>0</xdr:rowOff>
    </xdr:from>
    <xdr:to>
      <xdr:col>18</xdr:col>
      <xdr:colOff>9525</xdr:colOff>
      <xdr:row>42</xdr:row>
      <xdr:rowOff>0</xdr:rowOff>
    </xdr:to>
    <xdr:sp macro="" textlink="">
      <xdr:nvSpPr>
        <xdr:cNvPr id="38" name="Rectangle 37"/>
        <xdr:cNvSpPr/>
      </xdr:nvSpPr>
      <xdr:spPr>
        <a:xfrm>
          <a:off x="7362825" y="5524500"/>
          <a:ext cx="5010150" cy="952500"/>
        </a:xfrm>
        <a:prstGeom prst="rect">
          <a:avLst/>
        </a:prstGeom>
        <a:noFill/>
        <a:ln w="19050"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339945</xdr:colOff>
      <xdr:row>22</xdr:row>
      <xdr:rowOff>168283</xdr:rowOff>
    </xdr:from>
    <xdr:to>
      <xdr:col>17</xdr:col>
      <xdr:colOff>128139</xdr:colOff>
      <xdr:row>24</xdr:row>
      <xdr:rowOff>22086</xdr:rowOff>
    </xdr:to>
    <xdr:sp macro="" textlink="">
      <xdr:nvSpPr>
        <xdr:cNvPr id="39" name="Oval 38"/>
        <xdr:cNvSpPr/>
      </xdr:nvSpPr>
      <xdr:spPr>
        <a:xfrm rot="18788494">
          <a:off x="11565690" y="4277788"/>
          <a:ext cx="234803" cy="397794"/>
        </a:xfrm>
        <a:prstGeom prst="ellipse">
          <a:avLst/>
        </a:prstGeom>
        <a:solidFill>
          <a:schemeClr val="tx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358995</xdr:colOff>
      <xdr:row>38</xdr:row>
      <xdr:rowOff>177808</xdr:rowOff>
    </xdr:from>
    <xdr:to>
      <xdr:col>17</xdr:col>
      <xdr:colOff>147189</xdr:colOff>
      <xdr:row>40</xdr:row>
      <xdr:rowOff>31611</xdr:rowOff>
    </xdr:to>
    <xdr:sp macro="" textlink="">
      <xdr:nvSpPr>
        <xdr:cNvPr id="40" name="Oval 39"/>
        <xdr:cNvSpPr/>
      </xdr:nvSpPr>
      <xdr:spPr>
        <a:xfrm rot="18788494">
          <a:off x="11584740" y="5811313"/>
          <a:ext cx="234803" cy="397794"/>
        </a:xfrm>
        <a:prstGeom prst="ellipse">
          <a:avLst/>
        </a:prstGeom>
        <a:solidFill>
          <a:schemeClr val="tx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282022</xdr:colOff>
      <xdr:row>28</xdr:row>
      <xdr:rowOff>152817</xdr:rowOff>
    </xdr:from>
    <xdr:to>
      <xdr:col>16</xdr:col>
      <xdr:colOff>596348</xdr:colOff>
      <xdr:row>33</xdr:row>
      <xdr:rowOff>71853</xdr:rowOff>
    </xdr:to>
    <xdr:sp macro="" textlink="">
      <xdr:nvSpPr>
        <xdr:cNvPr id="42" name="Trapezoid 41"/>
        <xdr:cNvSpPr/>
      </xdr:nvSpPr>
      <xdr:spPr>
        <a:xfrm rot="5400000">
          <a:off x="9362765" y="3926683"/>
          <a:ext cx="871536" cy="3991804"/>
        </a:xfrm>
        <a:prstGeom prst="trapezoid">
          <a:avLst>
            <a:gd name="adj" fmla="val 38115"/>
          </a:avLst>
        </a:prstGeom>
        <a:solidFill>
          <a:schemeClr val="accent5">
            <a:lumMod val="20000"/>
            <a:lumOff val="8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72473</xdr:colOff>
      <xdr:row>28</xdr:row>
      <xdr:rowOff>143289</xdr:rowOff>
    </xdr:from>
    <xdr:to>
      <xdr:col>10</xdr:col>
      <xdr:colOff>424898</xdr:colOff>
      <xdr:row>33</xdr:row>
      <xdr:rowOff>67089</xdr:rowOff>
    </xdr:to>
    <xdr:grpSp>
      <xdr:nvGrpSpPr>
        <xdr:cNvPr id="43" name="Group 42"/>
        <xdr:cNvGrpSpPr/>
      </xdr:nvGrpSpPr>
      <xdr:grpSpPr>
        <a:xfrm>
          <a:off x="7593082" y="5477289"/>
          <a:ext cx="352425" cy="876300"/>
          <a:chOff x="7419975" y="123825"/>
          <a:chExt cx="352425" cy="876300"/>
        </a:xfrm>
      </xdr:grpSpPr>
      <xdr:sp macro="" textlink="">
        <xdr:nvSpPr>
          <xdr:cNvPr id="44" name="Oval 43"/>
          <xdr:cNvSpPr/>
        </xdr:nvSpPr>
        <xdr:spPr>
          <a:xfrm>
            <a:off x="7419975" y="123825"/>
            <a:ext cx="295275" cy="876300"/>
          </a:xfrm>
          <a:prstGeom prst="ellipse">
            <a:avLst/>
          </a:prstGeom>
          <a:solidFill>
            <a:schemeClr val="tx2">
              <a:lumMod val="20000"/>
              <a:lumOff val="80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45" name="Oval 44"/>
          <xdr:cNvSpPr/>
        </xdr:nvSpPr>
        <xdr:spPr>
          <a:xfrm>
            <a:off x="7477125" y="123825"/>
            <a:ext cx="295275" cy="876300"/>
          </a:xfrm>
          <a:prstGeom prst="ellipse">
            <a:avLst/>
          </a:prstGeom>
          <a:solidFill>
            <a:schemeClr val="tx2">
              <a:lumMod val="20000"/>
              <a:lumOff val="80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16</xdr:col>
      <xdr:colOff>438509</xdr:colOff>
      <xdr:row>30</xdr:row>
      <xdr:rowOff>97054</xdr:rowOff>
    </xdr:from>
    <xdr:to>
      <xdr:col>17</xdr:col>
      <xdr:colOff>226703</xdr:colOff>
      <xdr:row>31</xdr:row>
      <xdr:rowOff>141357</xdr:rowOff>
    </xdr:to>
    <xdr:sp macro="" textlink="">
      <xdr:nvSpPr>
        <xdr:cNvPr id="46" name="Oval 45"/>
        <xdr:cNvSpPr/>
      </xdr:nvSpPr>
      <xdr:spPr>
        <a:xfrm rot="18788494">
          <a:off x="11719748" y="5728902"/>
          <a:ext cx="234803" cy="401107"/>
        </a:xfrm>
        <a:prstGeom prst="ellipse">
          <a:avLst/>
        </a:prstGeom>
        <a:solidFill>
          <a:schemeClr val="tx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510623</xdr:colOff>
      <xdr:row>28</xdr:row>
      <xdr:rowOff>105189</xdr:rowOff>
    </xdr:from>
    <xdr:to>
      <xdr:col>18</xdr:col>
      <xdr:colOff>31060</xdr:colOff>
      <xdr:row>33</xdr:row>
      <xdr:rowOff>105189</xdr:rowOff>
    </xdr:to>
    <xdr:sp macro="" textlink="">
      <xdr:nvSpPr>
        <xdr:cNvPr id="47" name="Rectangle 46"/>
        <xdr:cNvSpPr/>
      </xdr:nvSpPr>
      <xdr:spPr>
        <a:xfrm>
          <a:off x="7418319" y="5439189"/>
          <a:ext cx="5036654" cy="952500"/>
        </a:xfrm>
        <a:prstGeom prst="rect">
          <a:avLst/>
        </a:prstGeom>
        <a:noFill/>
        <a:ln w="19050"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488674</xdr:colOff>
      <xdr:row>31</xdr:row>
      <xdr:rowOff>57977</xdr:rowOff>
    </xdr:from>
    <xdr:to>
      <xdr:col>17</xdr:col>
      <xdr:colOff>99391</xdr:colOff>
      <xdr:row>35</xdr:row>
      <xdr:rowOff>160140</xdr:rowOff>
    </xdr:to>
    <xdr:sp macro="" textlink="">
      <xdr:nvSpPr>
        <xdr:cNvPr id="48" name="Flowchart: Extract 47"/>
        <xdr:cNvSpPr/>
      </xdr:nvSpPr>
      <xdr:spPr>
        <a:xfrm rot="10800000">
          <a:off x="11686761" y="5963477"/>
          <a:ext cx="223630" cy="864163"/>
        </a:xfrm>
        <a:prstGeom prst="flowChartExtract">
          <a:avLst/>
        </a:prstGeom>
        <a:solidFill>
          <a:schemeClr val="accent5">
            <a:lumMod val="20000"/>
            <a:lumOff val="8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383843</xdr:colOff>
      <xdr:row>30</xdr:row>
      <xdr:rowOff>102022</xdr:rowOff>
    </xdr:from>
    <xdr:to>
      <xdr:col>17</xdr:col>
      <xdr:colOff>172037</xdr:colOff>
      <xdr:row>31</xdr:row>
      <xdr:rowOff>146325</xdr:rowOff>
    </xdr:to>
    <xdr:sp macro="" textlink="">
      <xdr:nvSpPr>
        <xdr:cNvPr id="49" name="Oval 48"/>
        <xdr:cNvSpPr/>
      </xdr:nvSpPr>
      <xdr:spPr>
        <a:xfrm rot="18788494">
          <a:off x="11665082" y="5733870"/>
          <a:ext cx="234803" cy="401107"/>
        </a:xfrm>
        <a:prstGeom prst="ellipse">
          <a:avLst/>
        </a:prstGeom>
        <a:solidFill>
          <a:schemeClr val="tx2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430696</xdr:colOff>
      <xdr:row>31</xdr:row>
      <xdr:rowOff>41413</xdr:rowOff>
    </xdr:from>
    <xdr:to>
      <xdr:col>17</xdr:col>
      <xdr:colOff>132936</xdr:colOff>
      <xdr:row>31</xdr:row>
      <xdr:rowOff>46177</xdr:rowOff>
    </xdr:to>
    <xdr:cxnSp macro="">
      <xdr:nvCxnSpPr>
        <xdr:cNvPr id="50" name="Straight Connector 49"/>
        <xdr:cNvCxnSpPr/>
      </xdr:nvCxnSpPr>
      <xdr:spPr>
        <a:xfrm>
          <a:off x="11628783" y="5946913"/>
          <a:ext cx="315153" cy="4764"/>
        </a:xfrm>
        <a:prstGeom prst="line">
          <a:avLst/>
        </a:prstGeom>
        <a:ln w="190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458855</xdr:colOff>
      <xdr:row>30</xdr:row>
      <xdr:rowOff>77857</xdr:rowOff>
    </xdr:from>
    <xdr:to>
      <xdr:col>17</xdr:col>
      <xdr:colOff>109537</xdr:colOff>
      <xdr:row>31</xdr:row>
      <xdr:rowOff>174345</xdr:rowOff>
    </xdr:to>
    <xdr:cxnSp macro="">
      <xdr:nvCxnSpPr>
        <xdr:cNvPr id="53" name="Straight Connector 52"/>
        <xdr:cNvCxnSpPr/>
      </xdr:nvCxnSpPr>
      <xdr:spPr>
        <a:xfrm rot="16200000" flipH="1">
          <a:off x="11645246" y="5804553"/>
          <a:ext cx="286988" cy="263595"/>
        </a:xfrm>
        <a:prstGeom prst="line">
          <a:avLst/>
        </a:prstGeom>
        <a:ln w="1905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K47"/>
  <sheetViews>
    <sheetView tabSelected="1" zoomScale="115" zoomScaleNormal="115" workbookViewId="0">
      <selection activeCell="I37" sqref="I37"/>
    </sheetView>
  </sheetViews>
  <sheetFormatPr defaultRowHeight="15"/>
  <cols>
    <col min="2" max="2" width="30" customWidth="1"/>
    <col min="5" max="5" width="9.140625" style="2"/>
  </cols>
  <sheetData>
    <row r="2" spans="2:8">
      <c r="B2" s="4" t="s">
        <v>7</v>
      </c>
      <c r="D2" s="26">
        <v>6</v>
      </c>
    </row>
    <row r="3" spans="2:8">
      <c r="D3" s="3" t="s">
        <v>6</v>
      </c>
    </row>
    <row r="6" spans="2:8" s="3" customFormat="1"/>
    <row r="8" spans="2:8">
      <c r="B8" s="4" t="s">
        <v>4</v>
      </c>
      <c r="D8">
        <v>4</v>
      </c>
      <c r="E8" s="2" t="s">
        <v>3</v>
      </c>
      <c r="F8">
        <v>12</v>
      </c>
      <c r="G8" s="1" t="s">
        <v>2</v>
      </c>
      <c r="H8" s="26">
        <f>F8*D8</f>
        <v>48</v>
      </c>
    </row>
    <row r="9" spans="2:8">
      <c r="B9" s="3"/>
      <c r="C9" s="3"/>
      <c r="D9" s="3" t="s">
        <v>0</v>
      </c>
      <c r="E9" s="3"/>
      <c r="F9" s="3" t="s">
        <v>1</v>
      </c>
      <c r="G9" s="3"/>
      <c r="H9" s="3" t="s">
        <v>1</v>
      </c>
    </row>
    <row r="16" spans="2:8">
      <c r="B16" s="4" t="s">
        <v>8</v>
      </c>
      <c r="D16">
        <v>48</v>
      </c>
      <c r="E16" s="1" t="s">
        <v>9</v>
      </c>
      <c r="F16">
        <v>6</v>
      </c>
      <c r="G16" s="1" t="s">
        <v>2</v>
      </c>
      <c r="H16" s="26">
        <f>D16/F16</f>
        <v>8</v>
      </c>
    </row>
    <row r="17" spans="2:8">
      <c r="D17" s="3" t="s">
        <v>1</v>
      </c>
      <c r="E17" s="3"/>
      <c r="F17" s="3" t="s">
        <v>1</v>
      </c>
      <c r="G17" s="3"/>
      <c r="H17" s="3" t="s">
        <v>1</v>
      </c>
    </row>
    <row r="18" spans="2:8">
      <c r="D18" s="3"/>
      <c r="E18" s="3"/>
      <c r="F18" s="3"/>
      <c r="G18" s="3"/>
      <c r="H18" s="3"/>
    </row>
    <row r="19" spans="2:8">
      <c r="D19" s="3"/>
      <c r="E19" s="3"/>
      <c r="F19" s="3"/>
      <c r="G19" s="3"/>
      <c r="H19" s="3"/>
    </row>
    <row r="20" spans="2:8">
      <c r="D20" s="3"/>
      <c r="E20" s="3"/>
      <c r="F20" s="3"/>
      <c r="G20" s="3"/>
      <c r="H20" s="3"/>
    </row>
    <row r="21" spans="2:8">
      <c r="D21" s="3"/>
      <c r="E21" s="3"/>
      <c r="F21" s="3"/>
      <c r="G21" s="3"/>
      <c r="H21" s="3"/>
    </row>
    <row r="23" spans="2:8">
      <c r="B23" s="4" t="s">
        <v>5</v>
      </c>
      <c r="D23">
        <v>1</v>
      </c>
      <c r="E23" s="2" t="s">
        <v>3</v>
      </c>
      <c r="F23">
        <v>8</v>
      </c>
      <c r="G23" s="1" t="s">
        <v>2</v>
      </c>
      <c r="H23" s="26">
        <f>F23*D23</f>
        <v>8</v>
      </c>
    </row>
    <row r="24" spans="2:8">
      <c r="D24" s="3" t="s">
        <v>6</v>
      </c>
      <c r="E24" s="3"/>
      <c r="F24" s="3" t="s">
        <v>1</v>
      </c>
      <c r="G24" s="3"/>
      <c r="H24" s="3" t="s">
        <v>1</v>
      </c>
    </row>
    <row r="30" spans="2:8">
      <c r="B30" s="22" t="s">
        <v>38</v>
      </c>
      <c r="D30">
        <v>11</v>
      </c>
      <c r="E30" s="1" t="s">
        <v>9</v>
      </c>
      <c r="F30">
        <v>8</v>
      </c>
      <c r="G30" s="1" t="s">
        <v>2</v>
      </c>
      <c r="H30">
        <v>1.375</v>
      </c>
    </row>
    <row r="31" spans="2:8">
      <c r="B31" s="22"/>
      <c r="D31" s="3" t="s">
        <v>6</v>
      </c>
      <c r="E31" s="3"/>
      <c r="F31" s="3" t="s">
        <v>1</v>
      </c>
      <c r="G31" s="3"/>
      <c r="H31" s="3" t="s">
        <v>1</v>
      </c>
    </row>
    <row r="33" spans="2:11">
      <c r="B33" s="24" t="s">
        <v>39</v>
      </c>
      <c r="G33" s="1" t="s">
        <v>2</v>
      </c>
      <c r="H33" s="26">
        <v>35</v>
      </c>
    </row>
    <row r="34" spans="2:11">
      <c r="G34" s="3"/>
      <c r="H34" s="3" t="s">
        <v>15</v>
      </c>
    </row>
    <row r="36" spans="2:11">
      <c r="B36" s="24" t="s">
        <v>40</v>
      </c>
      <c r="D36">
        <v>35</v>
      </c>
      <c r="E36" s="2" t="s">
        <v>3</v>
      </c>
      <c r="F36" s="25" t="s">
        <v>41</v>
      </c>
      <c r="G36" s="1" t="s">
        <v>2</v>
      </c>
      <c r="H36" s="27">
        <f>D36*SQRT(2)</f>
        <v>49.497474683058329</v>
      </c>
    </row>
    <row r="37" spans="2:11">
      <c r="D37" s="3" t="s">
        <v>15</v>
      </c>
      <c r="G37" s="3"/>
      <c r="H37" s="3" t="s">
        <v>15</v>
      </c>
    </row>
    <row r="39" spans="2:11">
      <c r="B39" s="4" t="s">
        <v>10</v>
      </c>
      <c r="D39">
        <v>48</v>
      </c>
      <c r="E39" s="1" t="s">
        <v>11</v>
      </c>
      <c r="F39" s="5" t="s">
        <v>12</v>
      </c>
      <c r="G39" s="1" t="s">
        <v>2</v>
      </c>
      <c r="H39" s="26">
        <f>D39-(8+3)</f>
        <v>37</v>
      </c>
    </row>
    <row r="40" spans="2:11">
      <c r="D40" s="3" t="s">
        <v>1</v>
      </c>
      <c r="F40" s="3" t="s">
        <v>1</v>
      </c>
      <c r="H40" s="3" t="s">
        <v>1</v>
      </c>
    </row>
    <row r="47" spans="2:11">
      <c r="K47" s="23"/>
    </row>
  </sheetData>
  <mergeCells count="1">
    <mergeCell ref="B30:B3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C2:K14"/>
  <sheetViews>
    <sheetView workbookViewId="0">
      <selection activeCell="E15" sqref="E15"/>
    </sheetView>
  </sheetViews>
  <sheetFormatPr defaultRowHeight="15"/>
  <cols>
    <col min="3" max="3" width="27.5703125" customWidth="1"/>
    <col min="6" max="6" width="34.7109375" customWidth="1"/>
  </cols>
  <sheetData>
    <row r="2" spans="3:11">
      <c r="D2" t="s">
        <v>14</v>
      </c>
      <c r="E2" t="s">
        <v>15</v>
      </c>
    </row>
    <row r="3" spans="3:11">
      <c r="C3" t="s">
        <v>13</v>
      </c>
      <c r="D3">
        <v>41</v>
      </c>
      <c r="E3">
        <v>1041.4000000000001</v>
      </c>
      <c r="F3" t="s">
        <v>16</v>
      </c>
    </row>
    <row r="5" spans="3:11">
      <c r="E5">
        <f>E3-(25.4*4)</f>
        <v>939.80000000000007</v>
      </c>
    </row>
    <row r="14" spans="3:11">
      <c r="H14">
        <v>3</v>
      </c>
      <c r="I14">
        <v>4</v>
      </c>
      <c r="J14">
        <v>25.4</v>
      </c>
      <c r="K14">
        <f>H14/I14*J14</f>
        <v>19.049999999999997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C3:P26"/>
  <sheetViews>
    <sheetView workbookViewId="0">
      <selection activeCell="O24" sqref="O24"/>
    </sheetView>
  </sheetViews>
  <sheetFormatPr defaultRowHeight="15"/>
  <cols>
    <col min="1" max="2" width="9.140625" style="6"/>
    <col min="3" max="3" width="36.85546875" style="6" customWidth="1"/>
    <col min="4" max="4" width="9.140625" style="8"/>
    <col min="5" max="5" width="24.140625" style="8" bestFit="1" customWidth="1"/>
    <col min="6" max="6" width="9.140625" style="8"/>
    <col min="7" max="7" width="29.5703125" style="8" customWidth="1"/>
    <col min="8" max="10" width="9.140625" style="6"/>
    <col min="11" max="11" width="13.7109375" style="8" customWidth="1"/>
    <col min="12" max="14" width="3.7109375" style="8" customWidth="1"/>
    <col min="15" max="15" width="22" style="8" customWidth="1"/>
    <col min="16" max="16" width="12.85546875" style="6" customWidth="1"/>
    <col min="17" max="16384" width="9.140625" style="6"/>
  </cols>
  <sheetData>
    <row r="3" spans="3:16">
      <c r="C3" s="6" t="s">
        <v>17</v>
      </c>
      <c r="D3" s="7" t="s">
        <v>2</v>
      </c>
      <c r="E3" s="8" t="s">
        <v>18</v>
      </c>
      <c r="F3" s="7" t="s">
        <v>9</v>
      </c>
      <c r="G3" s="8" t="s">
        <v>19</v>
      </c>
      <c r="J3" s="13"/>
      <c r="K3" s="14" t="s">
        <v>17</v>
      </c>
      <c r="L3" s="21" t="s">
        <v>36</v>
      </c>
      <c r="M3" s="21"/>
      <c r="N3" s="21"/>
      <c r="O3" s="14" t="s">
        <v>19</v>
      </c>
      <c r="P3" s="15"/>
    </row>
    <row r="4" spans="3:16">
      <c r="D4" s="8" t="s">
        <v>2</v>
      </c>
      <c r="E4" s="8" t="s">
        <v>20</v>
      </c>
      <c r="F4" s="7" t="s">
        <v>9</v>
      </c>
      <c r="G4" s="8" t="s">
        <v>21</v>
      </c>
      <c r="J4" s="16" t="s">
        <v>32</v>
      </c>
      <c r="K4" s="11">
        <f>E19*3</f>
        <v>450</v>
      </c>
      <c r="L4" s="20" t="s">
        <v>35</v>
      </c>
      <c r="M4" s="17"/>
      <c r="N4" s="17"/>
      <c r="O4" s="12">
        <f>$E$18/K4</f>
        <v>2.6666666666666665</v>
      </c>
      <c r="P4" s="10"/>
    </row>
    <row r="5" spans="3:16">
      <c r="J5" s="16"/>
      <c r="K5" s="11">
        <f>K4-20</f>
        <v>430</v>
      </c>
      <c r="L5" s="20"/>
      <c r="M5" s="17"/>
      <c r="N5" s="17"/>
      <c r="O5" s="12">
        <f t="shared" ref="O5:O26" si="0">$E$18/K5</f>
        <v>2.7906976744186047</v>
      </c>
      <c r="P5" s="10"/>
    </row>
    <row r="6" spans="3:16">
      <c r="C6" s="6" t="s">
        <v>22</v>
      </c>
      <c r="D6" s="7" t="s">
        <v>2</v>
      </c>
      <c r="E6" s="8" t="s">
        <v>19</v>
      </c>
      <c r="F6" s="7" t="s">
        <v>9</v>
      </c>
      <c r="G6" s="8" t="s">
        <v>23</v>
      </c>
      <c r="J6" s="16"/>
      <c r="K6" s="11">
        <f t="shared" ref="K6:K25" si="1">K5-20</f>
        <v>410</v>
      </c>
      <c r="L6" s="20"/>
      <c r="M6" s="17"/>
      <c r="N6" s="17"/>
      <c r="O6" s="12">
        <f t="shared" si="0"/>
        <v>2.9268292682926829</v>
      </c>
      <c r="P6" s="10"/>
    </row>
    <row r="7" spans="3:16">
      <c r="D7" s="8" t="s">
        <v>2</v>
      </c>
      <c r="E7" s="8" t="s">
        <v>24</v>
      </c>
      <c r="F7" s="7" t="s">
        <v>9</v>
      </c>
      <c r="G7" s="8" t="s">
        <v>17</v>
      </c>
      <c r="J7" s="16"/>
      <c r="K7" s="11">
        <f t="shared" si="1"/>
        <v>390</v>
      </c>
      <c r="L7" s="20"/>
      <c r="M7" s="17"/>
      <c r="N7" s="17"/>
      <c r="O7" s="12">
        <f t="shared" si="0"/>
        <v>3.0769230769230771</v>
      </c>
      <c r="P7" s="10"/>
    </row>
    <row r="8" spans="3:16">
      <c r="J8" s="16"/>
      <c r="K8" s="11">
        <f t="shared" si="1"/>
        <v>370</v>
      </c>
      <c r="L8" s="20"/>
      <c r="M8" s="17"/>
      <c r="N8" s="17"/>
      <c r="O8" s="12">
        <f t="shared" si="0"/>
        <v>3.2432432432432434</v>
      </c>
      <c r="P8" s="10"/>
    </row>
    <row r="9" spans="3:16">
      <c r="C9" s="6" t="s">
        <v>25</v>
      </c>
      <c r="D9" s="7" t="s">
        <v>2</v>
      </c>
      <c r="E9" s="8" t="s">
        <v>20</v>
      </c>
      <c r="F9" s="7" t="s">
        <v>9</v>
      </c>
      <c r="G9" s="8" t="s">
        <v>26</v>
      </c>
      <c r="J9" s="16"/>
      <c r="K9" s="11">
        <f t="shared" si="1"/>
        <v>350</v>
      </c>
      <c r="L9" s="20"/>
      <c r="M9" s="17"/>
      <c r="N9" s="17"/>
      <c r="O9" s="12">
        <f t="shared" si="0"/>
        <v>3.4285714285714284</v>
      </c>
      <c r="P9" s="10"/>
    </row>
    <row r="10" spans="3:16">
      <c r="C10" s="6" t="s">
        <v>27</v>
      </c>
      <c r="D10" s="8" t="s">
        <v>2</v>
      </c>
      <c r="E10" s="8" t="s">
        <v>18</v>
      </c>
      <c r="F10" s="7" t="s">
        <v>9</v>
      </c>
      <c r="G10" s="8" t="s">
        <v>28</v>
      </c>
      <c r="J10" s="16"/>
      <c r="K10" s="11">
        <f t="shared" si="1"/>
        <v>330</v>
      </c>
      <c r="L10" s="20"/>
      <c r="M10" s="17"/>
      <c r="N10" s="17"/>
      <c r="O10" s="12">
        <f t="shared" si="0"/>
        <v>3.6363636363636362</v>
      </c>
      <c r="P10" s="10"/>
    </row>
    <row r="11" spans="3:16">
      <c r="J11" s="16"/>
      <c r="K11" s="11">
        <f t="shared" si="1"/>
        <v>310</v>
      </c>
      <c r="L11" s="20"/>
      <c r="M11" s="17"/>
      <c r="N11" s="17"/>
      <c r="O11" s="12">
        <f t="shared" si="0"/>
        <v>3.870967741935484</v>
      </c>
      <c r="P11" s="10"/>
    </row>
    <row r="12" spans="3:16">
      <c r="C12" s="6" t="s">
        <v>29</v>
      </c>
      <c r="D12" s="8" t="s">
        <v>2</v>
      </c>
      <c r="E12" s="8" t="s">
        <v>20</v>
      </c>
      <c r="F12" s="7" t="s">
        <v>3</v>
      </c>
      <c r="G12" s="8">
        <v>3</v>
      </c>
      <c r="J12" s="16"/>
      <c r="K12" s="11">
        <f t="shared" si="1"/>
        <v>290</v>
      </c>
      <c r="L12" s="20"/>
      <c r="M12" s="17"/>
      <c r="N12" s="17"/>
      <c r="O12" s="12">
        <f t="shared" si="0"/>
        <v>4.1379310344827589</v>
      </c>
      <c r="P12" s="10"/>
    </row>
    <row r="13" spans="3:16">
      <c r="E13" s="8" t="s">
        <v>30</v>
      </c>
      <c r="F13" s="7" t="s">
        <v>3</v>
      </c>
      <c r="G13" s="8">
        <v>60</v>
      </c>
      <c r="J13" s="16"/>
      <c r="K13" s="11">
        <f t="shared" si="1"/>
        <v>270</v>
      </c>
      <c r="L13" s="20"/>
      <c r="M13" s="17"/>
      <c r="N13" s="17"/>
      <c r="O13" s="12">
        <f t="shared" si="0"/>
        <v>4.4444444444444446</v>
      </c>
      <c r="P13" s="10"/>
    </row>
    <row r="14" spans="3:16">
      <c r="C14" s="6" t="s">
        <v>31</v>
      </c>
      <c r="D14" s="8" t="s">
        <v>2</v>
      </c>
      <c r="E14" s="8" t="s">
        <v>18</v>
      </c>
      <c r="F14" s="7" t="s">
        <v>9</v>
      </c>
      <c r="G14" s="8" t="s">
        <v>32</v>
      </c>
      <c r="J14" s="16"/>
      <c r="K14" s="11">
        <f t="shared" si="1"/>
        <v>250</v>
      </c>
      <c r="L14" s="20"/>
      <c r="M14" s="17"/>
      <c r="N14" s="17"/>
      <c r="O14" s="12">
        <f t="shared" si="0"/>
        <v>4.8</v>
      </c>
      <c r="P14" s="10"/>
    </row>
    <row r="15" spans="3:16">
      <c r="J15" s="16"/>
      <c r="K15" s="11">
        <f t="shared" si="1"/>
        <v>230</v>
      </c>
      <c r="L15" s="20"/>
      <c r="M15" s="17"/>
      <c r="N15" s="17"/>
      <c r="O15" s="12">
        <f t="shared" si="0"/>
        <v>5.2173913043478262</v>
      </c>
      <c r="P15" s="10"/>
    </row>
    <row r="16" spans="3:16">
      <c r="J16" s="16"/>
      <c r="K16" s="11">
        <f t="shared" si="1"/>
        <v>210</v>
      </c>
      <c r="L16" s="20"/>
      <c r="M16" s="17"/>
      <c r="N16" s="17"/>
      <c r="O16" s="12">
        <f t="shared" si="0"/>
        <v>5.7142857142857144</v>
      </c>
      <c r="P16" s="10"/>
    </row>
    <row r="17" spans="3:16">
      <c r="J17" s="16"/>
      <c r="K17" s="11">
        <f t="shared" si="1"/>
        <v>190</v>
      </c>
      <c r="L17" s="20"/>
      <c r="M17" s="17"/>
      <c r="N17" s="17"/>
      <c r="O17" s="12">
        <f t="shared" si="0"/>
        <v>6.3157894736842106</v>
      </c>
      <c r="P17" s="10"/>
    </row>
    <row r="18" spans="3:16">
      <c r="C18" s="8" t="s">
        <v>18</v>
      </c>
      <c r="D18" s="8" t="s">
        <v>2</v>
      </c>
      <c r="E18" s="8">
        <v>1200</v>
      </c>
      <c r="F18" s="8" t="s">
        <v>15</v>
      </c>
      <c r="J18" s="16"/>
      <c r="K18" s="11">
        <f t="shared" si="1"/>
        <v>170</v>
      </c>
      <c r="L18" s="20"/>
      <c r="M18" s="17"/>
      <c r="N18" s="17"/>
      <c r="O18" s="12">
        <f t="shared" si="0"/>
        <v>7.0588235294117645</v>
      </c>
      <c r="P18" s="10"/>
    </row>
    <row r="19" spans="3:16">
      <c r="C19" s="8" t="s">
        <v>24</v>
      </c>
      <c r="D19" s="8" t="s">
        <v>2</v>
      </c>
      <c r="E19" s="8">
        <v>150</v>
      </c>
      <c r="F19" s="8" t="s">
        <v>15</v>
      </c>
      <c r="J19" s="16"/>
      <c r="K19" s="11">
        <f t="shared" si="1"/>
        <v>150</v>
      </c>
      <c r="L19" s="20"/>
      <c r="M19" s="19" t="s">
        <v>34</v>
      </c>
      <c r="N19" s="17"/>
      <c r="O19" s="9">
        <f t="shared" si="0"/>
        <v>8</v>
      </c>
      <c r="P19" s="17" t="s">
        <v>37</v>
      </c>
    </row>
    <row r="20" spans="3:16">
      <c r="J20" s="16"/>
      <c r="K20" s="11">
        <f t="shared" si="1"/>
        <v>130</v>
      </c>
      <c r="L20" s="20"/>
      <c r="M20" s="19"/>
      <c r="N20" s="17"/>
      <c r="O20" s="9">
        <f t="shared" si="0"/>
        <v>9.2307692307692299</v>
      </c>
      <c r="P20" s="17"/>
    </row>
    <row r="21" spans="3:16">
      <c r="J21" s="16"/>
      <c r="K21" s="11">
        <f t="shared" si="1"/>
        <v>110</v>
      </c>
      <c r="L21" s="20"/>
      <c r="M21" s="19"/>
      <c r="N21" s="18" t="s">
        <v>33</v>
      </c>
      <c r="O21" s="9">
        <f t="shared" si="0"/>
        <v>10.909090909090908</v>
      </c>
      <c r="P21" s="17"/>
    </row>
    <row r="22" spans="3:16">
      <c r="J22" s="16"/>
      <c r="K22" s="11">
        <f t="shared" si="1"/>
        <v>90</v>
      </c>
      <c r="L22" s="17"/>
      <c r="M22" s="19"/>
      <c r="N22" s="18"/>
      <c r="O22" s="9">
        <f t="shared" si="0"/>
        <v>13.333333333333334</v>
      </c>
      <c r="P22" s="17"/>
    </row>
    <row r="23" spans="3:16">
      <c r="J23" s="16"/>
      <c r="K23" s="11">
        <f t="shared" si="1"/>
        <v>70</v>
      </c>
      <c r="L23" s="17"/>
      <c r="M23" s="19"/>
      <c r="N23" s="18"/>
      <c r="O23" s="9">
        <f t="shared" si="0"/>
        <v>17.142857142857142</v>
      </c>
      <c r="P23" s="17"/>
    </row>
    <row r="24" spans="3:16">
      <c r="J24" s="16"/>
      <c r="K24" s="11">
        <f t="shared" si="1"/>
        <v>50</v>
      </c>
      <c r="L24" s="17"/>
      <c r="M24" s="19"/>
      <c r="N24" s="18"/>
      <c r="O24" s="9">
        <f t="shared" si="0"/>
        <v>24</v>
      </c>
      <c r="P24" s="17"/>
    </row>
    <row r="25" spans="3:16">
      <c r="J25" s="16"/>
      <c r="K25" s="11">
        <f t="shared" si="1"/>
        <v>30</v>
      </c>
      <c r="L25" s="17"/>
      <c r="M25" s="17"/>
      <c r="N25" s="18"/>
      <c r="O25" s="12">
        <f t="shared" si="0"/>
        <v>40</v>
      </c>
      <c r="P25" s="10"/>
    </row>
    <row r="26" spans="3:16">
      <c r="J26" s="16" t="s">
        <v>28</v>
      </c>
      <c r="K26" s="12">
        <f>E19/7</f>
        <v>21.428571428571427</v>
      </c>
      <c r="L26" s="17"/>
      <c r="M26" s="17"/>
      <c r="N26" s="18"/>
      <c r="O26" s="12">
        <f t="shared" si="0"/>
        <v>56.000000000000007</v>
      </c>
      <c r="P26" s="10"/>
    </row>
  </sheetData>
  <mergeCells count="9">
    <mergeCell ref="P19:P24"/>
    <mergeCell ref="N21:N26"/>
    <mergeCell ref="M19:M24"/>
    <mergeCell ref="L4:L21"/>
    <mergeCell ref="L3:N3"/>
    <mergeCell ref="M4:M18"/>
    <mergeCell ref="M25:M26"/>
    <mergeCell ref="L22:L26"/>
    <mergeCell ref="N4:N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Optical Calculations</vt:lpstr>
      <vt:lpstr>Worksheet</vt:lpstr>
      <vt:lpstr>Magnification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Girish</dc:creator>
  <cp:lastModifiedBy>Girish</cp:lastModifiedBy>
  <dcterms:created xsi:type="dcterms:W3CDTF">2023-10-30T17:36:44Z</dcterms:created>
  <dcterms:modified xsi:type="dcterms:W3CDTF">2023-11-19T18:09:37Z</dcterms:modified>
</cp:coreProperties>
</file>